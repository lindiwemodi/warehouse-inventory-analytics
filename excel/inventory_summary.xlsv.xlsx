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1C9A4A0-246A-4AD8-AC5E-A48BE367257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2" sheetId="2" r:id="rId1"/>
    <sheet name="Sheet1" sheetId="1" r:id="rId2"/>
  </sheets>
  <calcPr calcId="191028"/>
  <pivotCaches>
    <pivotCache cacheId="2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</calcChain>
</file>

<file path=xl/sharedStrings.xml><?xml version="1.0" encoding="utf-8"?>
<sst xmlns="http://schemas.openxmlformats.org/spreadsheetml/2006/main" count="75" uniqueCount="44">
  <si>
    <t>category</t>
  </si>
  <si>
    <t>Sum of holding_cost</t>
  </si>
  <si>
    <t>Electronics</t>
  </si>
  <si>
    <t>Hardware</t>
  </si>
  <si>
    <t>Office Supplies</t>
  </si>
  <si>
    <t>Packaging</t>
  </si>
  <si>
    <t>Safety Gear</t>
  </si>
  <si>
    <t>Grand Total</t>
  </si>
  <si>
    <t>product_id</t>
  </si>
  <si>
    <t>name</t>
  </si>
  <si>
    <t>quantity_on_hand</t>
  </si>
  <si>
    <t>storage_cost_per_unit</t>
  </si>
  <si>
    <t>total_ordered</t>
  </si>
  <si>
    <t>holding_cost</t>
  </si>
  <si>
    <t>Cable</t>
  </si>
  <si>
    <t>Optical Mouse</t>
  </si>
  <si>
    <t>USB-C Adapter</t>
  </si>
  <si>
    <t>Wireless Keyboard</t>
  </si>
  <si>
    <t>HDMI Cable 2m</t>
  </si>
  <si>
    <t>M6 Hex Bolts (100pk)</t>
  </si>
  <si>
    <t>Steel Utility Bracket</t>
  </si>
  <si>
    <t>Surge Protector</t>
  </si>
  <si>
    <t>Power Bank 10k</t>
  </si>
  <si>
    <t>Desk Lamp</t>
  </si>
  <si>
    <t>Bubble Wrap Roll 50ft</t>
  </si>
  <si>
    <t>Shipping Boxes 300x300x300mm</t>
  </si>
  <si>
    <t xml:space="preserve">Brass Door Hinge </t>
  </si>
  <si>
    <t>Screwdriver Set</t>
  </si>
  <si>
    <t>Measuring Tape 8m</t>
  </si>
  <si>
    <t>Heavy-Duty Caster Wheel</t>
  </si>
  <si>
    <t>Packing Tape 6-Pack</t>
  </si>
  <si>
    <t>Padded Mailers #2</t>
  </si>
  <si>
    <t>Stretch Wrap Film</t>
  </si>
  <si>
    <t>Gel Pens (Black 12pk)</t>
  </si>
  <si>
    <t>A4 Copy Paper Ream</t>
  </si>
  <si>
    <t>Mesh Desk Organizer</t>
  </si>
  <si>
    <t>High-Vis Vest</t>
  </si>
  <si>
    <t>N95 Respirator Masks</t>
  </si>
  <si>
    <t>Heavy Duty Stapler</t>
  </si>
  <si>
    <t>Sticky Notes 76x76mm</t>
  </si>
  <si>
    <t>Dry Erase Markers</t>
  </si>
  <si>
    <t>Nitrile Gloves (100pk)</t>
  </si>
  <si>
    <t>Safety Glasses</t>
  </si>
  <si>
    <t>Steel – Toe Boots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</si>
</sst>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3.47466122685" createdVersion="8" refreshedVersion="8" minRefreshableVersion="3" recordCount="30" xr:uid="{6EB88EF1-C993-47E9-9765-107339DD8733}">
  <cacheSource type="worksheet">
    <worksheetSource name="Table2"/>
  </cacheSource>
  <cacheFields count="7">
    <cacheField name="product_id" numFmtId="0">
      <sharedItems containsSemiMixedTypes="0" containsString="0" containsNumber="1" containsInteger="1" minValue="1" maxValue="30"/>
    </cacheField>
    <cacheField name="name" numFmtId="0">
      <sharedItems/>
    </cacheField>
    <cacheField name="category" numFmtId="0">
      <sharedItems count="5">
        <s v="Electronics"/>
        <s v="Hardware"/>
        <s v="Packaging"/>
        <s v="Office Supplies"/>
        <s v="Safety Gear"/>
      </sharedItems>
    </cacheField>
    <cacheField name="quantity_on_hand" numFmtId="0">
      <sharedItems containsSemiMixedTypes="0" containsString="0" containsNumber="1" containsInteger="1" minValue="0" maxValue="500"/>
    </cacheField>
    <cacheField name="storage_cost_per_unit" numFmtId="0">
      <sharedItems containsSemiMixedTypes="0" containsString="0" containsNumber="1" minValue="0.25" maxValue="5.8"/>
    </cacheField>
    <cacheField name="total_ordered" numFmtId="0">
      <sharedItems containsSemiMixedTypes="0" containsString="0" containsNumber="1" containsInteger="1" minValue="6" maxValue="188"/>
    </cacheField>
    <cacheField name="holding_cost" numFmtId="0">
      <sharedItems containsSemiMixedTypes="0" containsString="0" containsNumber="1" minValue="0" maxValue="62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Cable"/>
    <x v="0"/>
    <n v="240"/>
    <n v="2.5"/>
    <n v="67"/>
    <n v="600"/>
  </r>
  <r>
    <n v="2"/>
    <s v="Optical Mouse"/>
    <x v="0"/>
    <n v="180"/>
    <n v="0.85"/>
    <n v="39"/>
    <n v="153"/>
  </r>
  <r>
    <n v="3"/>
    <s v="USB-C Adapter"/>
    <x v="0"/>
    <n v="8"/>
    <n v="0.35"/>
    <n v="60"/>
    <n v="2.8"/>
  </r>
  <r>
    <n v="4"/>
    <s v="Wireless Keyboard"/>
    <x v="0"/>
    <n v="95"/>
    <n v="1.1499999999999999"/>
    <n v="92"/>
    <n v="109.24999999999999"/>
  </r>
  <r>
    <n v="5"/>
    <s v="HDMI Cable 2m"/>
    <x v="0"/>
    <n v="310"/>
    <n v="0.4"/>
    <n v="95"/>
    <n v="124"/>
  </r>
  <r>
    <n v="6"/>
    <s v="M6 Hex Bolts (100pk)"/>
    <x v="1"/>
    <n v="480"/>
    <n v="0.65"/>
    <n v="119"/>
    <n v="312"/>
  </r>
  <r>
    <n v="7"/>
    <s v="Steel Utility Bracket"/>
    <x v="1"/>
    <n v="0"/>
    <n v="1.4"/>
    <n v="79"/>
    <n v="0"/>
  </r>
  <r>
    <n v="8"/>
    <s v="Surge Protector"/>
    <x v="0"/>
    <n v="60"/>
    <n v="1.8"/>
    <n v="157"/>
    <n v="108"/>
  </r>
  <r>
    <n v="9"/>
    <s v="Power Bank 10k"/>
    <x v="0"/>
    <n v="145"/>
    <n v="1.25"/>
    <n v="6"/>
    <n v="181.25"/>
  </r>
  <r>
    <n v="10"/>
    <s v="Desk Lamp"/>
    <x v="0"/>
    <n v="52"/>
    <n v="2.1"/>
    <n v="115"/>
    <n v="109.2"/>
  </r>
  <r>
    <n v="11"/>
    <s v="Bubble Wrap Roll 50ft"/>
    <x v="2"/>
    <n v="400"/>
    <n v="1.1000000000000001"/>
    <n v="188"/>
    <n v="440.00000000000006"/>
  </r>
  <r>
    <n v="12"/>
    <s v="Shipping Boxes 300x300x300mm"/>
    <x v="2"/>
    <n v="220"/>
    <n v="2.8"/>
    <n v="36"/>
    <n v="616"/>
  </r>
  <r>
    <n v="13"/>
    <s v="Brass Door Hinge "/>
    <x v="1"/>
    <n v="210"/>
    <n v="0.9"/>
    <n v="17"/>
    <n v="189"/>
  </r>
  <r>
    <n v="14"/>
    <s v="Screwdriver Set"/>
    <x v="1"/>
    <n v="75"/>
    <n v="2.25"/>
    <n v="81"/>
    <n v="168.75"/>
  </r>
  <r>
    <n v="15"/>
    <s v="Measuring Tape 8m"/>
    <x v="1"/>
    <n v="130"/>
    <n v="1.05"/>
    <n v="120"/>
    <n v="136.5"/>
  </r>
  <r>
    <n v="16"/>
    <s v="Heavy-Duty Caster Wheel"/>
    <x v="1"/>
    <n v="65"/>
    <n v="3.1"/>
    <n v="169"/>
    <n v="201.5"/>
  </r>
  <r>
    <n v="17"/>
    <s v="Packing Tape 6-Pack"/>
    <x v="2"/>
    <n v="12"/>
    <n v="1.1000000000000001"/>
    <n v="85"/>
    <n v="13.200000000000001"/>
  </r>
  <r>
    <n v="18"/>
    <s v="Padded Mailers #2"/>
    <x v="2"/>
    <n v="350"/>
    <n v="1.65"/>
    <n v="79"/>
    <n v="577.5"/>
  </r>
  <r>
    <n v="19"/>
    <s v="Stretch Wrap Film"/>
    <x v="2"/>
    <n v="175"/>
    <n v="3.4"/>
    <n v="104"/>
    <n v="595"/>
  </r>
  <r>
    <n v="20"/>
    <s v="Gel Pens (Black 12pk)"/>
    <x v="3"/>
    <n v="420"/>
    <n v="0.25"/>
    <n v="84"/>
    <n v="105"/>
  </r>
  <r>
    <n v="21"/>
    <s v="A4 Copy Paper Ream"/>
    <x v="3"/>
    <n v="290"/>
    <n v="2.15"/>
    <n v="83"/>
    <n v="623.5"/>
  </r>
  <r>
    <n v="22"/>
    <s v="Mesh Desk Organizer"/>
    <x v="3"/>
    <n v="85"/>
    <n v="1.75"/>
    <n v="96"/>
    <n v="148.75"/>
  </r>
  <r>
    <n v="23"/>
    <s v="High-Vis Vest"/>
    <x v="4"/>
    <n v="115"/>
    <n v="0.95"/>
    <n v="109"/>
    <n v="109.25"/>
  </r>
  <r>
    <n v="24"/>
    <s v="N95 Respirator Masks"/>
    <x v="4"/>
    <n v="15"/>
    <n v="1.1000000000000001"/>
    <n v="54"/>
    <n v="16.5"/>
  </r>
  <r>
    <n v="25"/>
    <s v="Heavy Duty Stapler"/>
    <x v="3"/>
    <n v="5"/>
    <n v="1.3"/>
    <n v="94"/>
    <n v="6.5"/>
  </r>
  <r>
    <n v="26"/>
    <s v="Sticky Notes 76x76mm"/>
    <x v="3"/>
    <n v="310"/>
    <n v="0.45"/>
    <n v="67"/>
    <n v="139.5"/>
  </r>
  <r>
    <n v="27"/>
    <s v="Dry Erase Markers"/>
    <x v="3"/>
    <n v="160"/>
    <n v="0.5"/>
    <n v="126"/>
    <n v="80"/>
  </r>
  <r>
    <n v="28"/>
    <s v="Nitrile Gloves (100pk)"/>
    <x v="4"/>
    <n v="500"/>
    <n v="1.2"/>
    <n v="118"/>
    <n v="600"/>
  </r>
  <r>
    <n v="29"/>
    <s v="Safety Glasses"/>
    <x v="4"/>
    <n v="190"/>
    <n v="0.75"/>
    <n v="80"/>
    <n v="142.5"/>
  </r>
  <r>
    <n v="30"/>
    <s v="Steel – Toe Boots"/>
    <x v="4"/>
    <n v="70"/>
    <n v="5.8"/>
    <n v="73"/>
    <n v="4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DC1F3-C232-44A4-9B8B-4B46E96550E2}" name="PivotTable1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7">
    <pivotField compact="0" outline="0" showAll="0"/>
    <pivotField compact="0" outline="0" showAll="0"/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holding_cos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FA5691-6ABF-4F65-9ADA-594DF53A0C2E}" name="Table2" displayName="Table2" ref="A1:G31" totalsRowShown="0">
  <autoFilter ref="A1:G31" xr:uid="{42FA5691-6ABF-4F65-9ADA-594DF53A0C2E}"/>
  <tableColumns count="7">
    <tableColumn id="1" xr3:uid="{8EE6B202-13BC-4C3E-81C5-CFF152EF503A}" name="product_id"/>
    <tableColumn id="2" xr3:uid="{ACD6C6DC-D9C2-4A91-A9EA-DAB5CB79791A}" name="name"/>
    <tableColumn id="3" xr3:uid="{E837AE74-DD6E-4ACC-9B0E-169B770F5D5A}" name="category"/>
    <tableColumn id="4" xr3:uid="{B0AA9F3D-69DD-46EA-8EBB-8750A8044DC0}" name="quantity_on_hand"/>
    <tableColumn id="5" xr3:uid="{8EC78C59-EDE3-457B-9F15-80E3AD953851}" name="storage_cost_per_unit"/>
    <tableColumn id="6" xr3:uid="{8657ED49-7B8B-4522-A5EA-E4FF02053AE6}" name="total_ordered"/>
    <tableColumn id="7" xr3:uid="{202C7C8B-2675-40E3-8132-F60A30EC81D6}" name="holding_cost" dataDxfId="0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8590-26C3-4832-BDB7-BC13E61811BE}">
  <dimension ref="A3:B9"/>
  <sheetViews>
    <sheetView workbookViewId="0">
      <selection activeCell="A3" sqref="A3"/>
    </sheetView>
  </sheetViews>
  <sheetFormatPr defaultRowHeight="15"/>
  <cols>
    <col min="1" max="1" width="14.140625" bestFit="1" customWidth="1"/>
    <col min="2" max="2" width="19.57031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1387.5</v>
      </c>
    </row>
    <row r="5" spans="1:2">
      <c r="A5" t="s">
        <v>3</v>
      </c>
      <c r="B5" s="2">
        <v>1007.75</v>
      </c>
    </row>
    <row r="6" spans="1:2">
      <c r="A6" t="s">
        <v>4</v>
      </c>
      <c r="B6" s="2">
        <v>1103.25</v>
      </c>
    </row>
    <row r="7" spans="1:2">
      <c r="A7" t="s">
        <v>5</v>
      </c>
      <c r="B7" s="2">
        <v>2241.6999999999998</v>
      </c>
    </row>
    <row r="8" spans="1:2">
      <c r="A8" t="s">
        <v>6</v>
      </c>
      <c r="B8" s="2">
        <v>1274.25</v>
      </c>
    </row>
    <row r="9" spans="1:2">
      <c r="A9" t="s">
        <v>7</v>
      </c>
      <c r="B9" s="2">
        <v>7014.45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B1" workbookViewId="0">
      <selection activeCell="D8" sqref="D8"/>
    </sheetView>
  </sheetViews>
  <sheetFormatPr defaultRowHeight="15"/>
  <cols>
    <col min="1" max="1" width="18.42578125" customWidth="1"/>
    <col min="2" max="2" width="30.42578125" bestFit="1" customWidth="1"/>
    <col min="3" max="3" width="17.5703125" customWidth="1"/>
    <col min="4" max="4" width="21.140625" customWidth="1"/>
    <col min="5" max="5" width="26.28515625" customWidth="1"/>
    <col min="6" max="6" width="19.140625" customWidth="1"/>
    <col min="7" max="7" width="14.85546875" customWidth="1"/>
  </cols>
  <sheetData>
    <row r="1" spans="1:7">
      <c r="A1" t="s">
        <v>8</v>
      </c>
      <c r="B1" t="s">
        <v>9</v>
      </c>
      <c r="C1" t="s">
        <v>0</v>
      </c>
      <c r="D1" t="s">
        <v>10</v>
      </c>
      <c r="E1" t="s">
        <v>11</v>
      </c>
      <c r="F1" t="s">
        <v>12</v>
      </c>
      <c r="G1" t="s">
        <v>13</v>
      </c>
    </row>
    <row r="2" spans="1:7">
      <c r="A2">
        <v>1</v>
      </c>
      <c r="B2" t="s">
        <v>14</v>
      </c>
      <c r="C2" t="s">
        <v>2</v>
      </c>
      <c r="D2">
        <v>240</v>
      </c>
      <c r="E2">
        <v>2.5</v>
      </c>
      <c r="F2">
        <v>67</v>
      </c>
      <c r="G2">
        <f t="shared" ref="G2:G31" si="0">D2*E2</f>
        <v>600</v>
      </c>
    </row>
    <row r="3" spans="1:7">
      <c r="A3">
        <v>2</v>
      </c>
      <c r="B3" t="s">
        <v>15</v>
      </c>
      <c r="C3" t="s">
        <v>2</v>
      </c>
      <c r="D3">
        <v>180</v>
      </c>
      <c r="E3">
        <v>0.85</v>
      </c>
      <c r="F3">
        <v>39</v>
      </c>
      <c r="G3">
        <f t="shared" si="0"/>
        <v>153</v>
      </c>
    </row>
    <row r="4" spans="1:7">
      <c r="A4">
        <v>3</v>
      </c>
      <c r="B4" t="s">
        <v>16</v>
      </c>
      <c r="C4" t="s">
        <v>2</v>
      </c>
      <c r="D4">
        <v>8</v>
      </c>
      <c r="E4">
        <v>0.35</v>
      </c>
      <c r="F4">
        <v>60</v>
      </c>
      <c r="G4">
        <f t="shared" si="0"/>
        <v>2.8</v>
      </c>
    </row>
    <row r="5" spans="1:7">
      <c r="A5">
        <v>4</v>
      </c>
      <c r="B5" t="s">
        <v>17</v>
      </c>
      <c r="C5" t="s">
        <v>2</v>
      </c>
      <c r="D5">
        <v>95</v>
      </c>
      <c r="E5">
        <v>1.1499999999999999</v>
      </c>
      <c r="F5">
        <v>92</v>
      </c>
      <c r="G5">
        <f t="shared" si="0"/>
        <v>109.24999999999999</v>
      </c>
    </row>
    <row r="6" spans="1:7">
      <c r="A6">
        <v>5</v>
      </c>
      <c r="B6" t="s">
        <v>18</v>
      </c>
      <c r="C6" t="s">
        <v>2</v>
      </c>
      <c r="D6">
        <v>310</v>
      </c>
      <c r="E6">
        <v>0.4</v>
      </c>
      <c r="F6">
        <v>95</v>
      </c>
      <c r="G6">
        <f t="shared" si="0"/>
        <v>124</v>
      </c>
    </row>
    <row r="7" spans="1:7">
      <c r="A7">
        <v>6</v>
      </c>
      <c r="B7" t="s">
        <v>19</v>
      </c>
      <c r="C7" t="s">
        <v>3</v>
      </c>
      <c r="D7">
        <v>480</v>
      </c>
      <c r="E7">
        <v>0.65</v>
      </c>
      <c r="F7">
        <v>119</v>
      </c>
      <c r="G7">
        <f t="shared" si="0"/>
        <v>312</v>
      </c>
    </row>
    <row r="8" spans="1:7">
      <c r="A8">
        <v>7</v>
      </c>
      <c r="B8" t="s">
        <v>20</v>
      </c>
      <c r="C8" t="s">
        <v>3</v>
      </c>
      <c r="D8">
        <v>0</v>
      </c>
      <c r="E8">
        <v>1.4</v>
      </c>
      <c r="F8">
        <v>79</v>
      </c>
      <c r="G8">
        <f t="shared" si="0"/>
        <v>0</v>
      </c>
    </row>
    <row r="9" spans="1:7">
      <c r="A9">
        <v>8</v>
      </c>
      <c r="B9" t="s">
        <v>21</v>
      </c>
      <c r="C9" t="s">
        <v>2</v>
      </c>
      <c r="D9">
        <v>60</v>
      </c>
      <c r="E9">
        <v>1.8</v>
      </c>
      <c r="F9">
        <v>157</v>
      </c>
      <c r="G9">
        <f t="shared" si="0"/>
        <v>108</v>
      </c>
    </row>
    <row r="10" spans="1:7">
      <c r="A10">
        <v>9</v>
      </c>
      <c r="B10" t="s">
        <v>22</v>
      </c>
      <c r="C10" t="s">
        <v>2</v>
      </c>
      <c r="D10">
        <v>145</v>
      </c>
      <c r="E10">
        <v>1.25</v>
      </c>
      <c r="F10">
        <v>6</v>
      </c>
      <c r="G10">
        <f t="shared" si="0"/>
        <v>181.25</v>
      </c>
    </row>
    <row r="11" spans="1:7">
      <c r="A11">
        <v>10</v>
      </c>
      <c r="B11" t="s">
        <v>23</v>
      </c>
      <c r="C11" t="s">
        <v>2</v>
      </c>
      <c r="D11">
        <v>52</v>
      </c>
      <c r="E11">
        <v>2.1</v>
      </c>
      <c r="F11">
        <v>115</v>
      </c>
      <c r="G11">
        <f t="shared" si="0"/>
        <v>109.2</v>
      </c>
    </row>
    <row r="12" spans="1:7">
      <c r="A12">
        <v>11</v>
      </c>
      <c r="B12" t="s">
        <v>24</v>
      </c>
      <c r="C12" t="s">
        <v>5</v>
      </c>
      <c r="D12">
        <v>400</v>
      </c>
      <c r="E12">
        <v>1.1000000000000001</v>
      </c>
      <c r="F12">
        <v>188</v>
      </c>
      <c r="G12">
        <f t="shared" si="0"/>
        <v>440.00000000000006</v>
      </c>
    </row>
    <row r="13" spans="1:7">
      <c r="A13">
        <v>12</v>
      </c>
      <c r="B13" t="s">
        <v>25</v>
      </c>
      <c r="C13" t="s">
        <v>5</v>
      </c>
      <c r="D13">
        <v>220</v>
      </c>
      <c r="E13">
        <v>2.8</v>
      </c>
      <c r="F13">
        <v>36</v>
      </c>
      <c r="G13">
        <f t="shared" si="0"/>
        <v>616</v>
      </c>
    </row>
    <row r="14" spans="1:7">
      <c r="A14">
        <v>13</v>
      </c>
      <c r="B14" t="s">
        <v>26</v>
      </c>
      <c r="C14" t="s">
        <v>3</v>
      </c>
      <c r="D14">
        <v>210</v>
      </c>
      <c r="E14">
        <v>0.9</v>
      </c>
      <c r="F14">
        <v>17</v>
      </c>
      <c r="G14">
        <f t="shared" si="0"/>
        <v>189</v>
      </c>
    </row>
    <row r="15" spans="1:7">
      <c r="A15">
        <v>14</v>
      </c>
      <c r="B15" t="s">
        <v>27</v>
      </c>
      <c r="C15" t="s">
        <v>3</v>
      </c>
      <c r="D15">
        <v>75</v>
      </c>
      <c r="E15">
        <v>2.25</v>
      </c>
      <c r="F15">
        <v>81</v>
      </c>
      <c r="G15">
        <f t="shared" si="0"/>
        <v>168.75</v>
      </c>
    </row>
    <row r="16" spans="1:7">
      <c r="A16">
        <v>15</v>
      </c>
      <c r="B16" t="s">
        <v>28</v>
      </c>
      <c r="C16" t="s">
        <v>3</v>
      </c>
      <c r="D16">
        <v>130</v>
      </c>
      <c r="E16">
        <v>1.05</v>
      </c>
      <c r="F16">
        <v>120</v>
      </c>
      <c r="G16">
        <f t="shared" si="0"/>
        <v>136.5</v>
      </c>
    </row>
    <row r="17" spans="1:7">
      <c r="A17">
        <v>16</v>
      </c>
      <c r="B17" t="s">
        <v>29</v>
      </c>
      <c r="C17" t="s">
        <v>3</v>
      </c>
      <c r="D17">
        <v>65</v>
      </c>
      <c r="E17">
        <v>3.1</v>
      </c>
      <c r="F17">
        <v>169</v>
      </c>
      <c r="G17">
        <f t="shared" si="0"/>
        <v>201.5</v>
      </c>
    </row>
    <row r="18" spans="1:7">
      <c r="A18">
        <v>17</v>
      </c>
      <c r="B18" t="s">
        <v>30</v>
      </c>
      <c r="C18" t="s">
        <v>5</v>
      </c>
      <c r="D18">
        <v>12</v>
      </c>
      <c r="E18">
        <v>1.1000000000000001</v>
      </c>
      <c r="F18">
        <v>85</v>
      </c>
      <c r="G18">
        <f t="shared" si="0"/>
        <v>13.200000000000001</v>
      </c>
    </row>
    <row r="19" spans="1:7">
      <c r="A19">
        <v>18</v>
      </c>
      <c r="B19" t="s">
        <v>31</v>
      </c>
      <c r="C19" t="s">
        <v>5</v>
      </c>
      <c r="D19">
        <v>350</v>
      </c>
      <c r="E19">
        <v>1.65</v>
      </c>
      <c r="F19">
        <v>79</v>
      </c>
      <c r="G19">
        <f t="shared" si="0"/>
        <v>577.5</v>
      </c>
    </row>
    <row r="20" spans="1:7">
      <c r="A20">
        <v>19</v>
      </c>
      <c r="B20" t="s">
        <v>32</v>
      </c>
      <c r="C20" t="s">
        <v>5</v>
      </c>
      <c r="D20">
        <v>175</v>
      </c>
      <c r="E20">
        <v>3.4</v>
      </c>
      <c r="F20">
        <v>104</v>
      </c>
      <c r="G20">
        <f t="shared" si="0"/>
        <v>595</v>
      </c>
    </row>
    <row r="21" spans="1:7">
      <c r="A21">
        <v>20</v>
      </c>
      <c r="B21" t="s">
        <v>33</v>
      </c>
      <c r="C21" t="s">
        <v>4</v>
      </c>
      <c r="D21">
        <v>420</v>
      </c>
      <c r="E21">
        <v>0.25</v>
      </c>
      <c r="F21">
        <v>84</v>
      </c>
      <c r="G21">
        <f t="shared" si="0"/>
        <v>105</v>
      </c>
    </row>
    <row r="22" spans="1:7">
      <c r="A22">
        <v>21</v>
      </c>
      <c r="B22" t="s">
        <v>34</v>
      </c>
      <c r="C22" t="s">
        <v>4</v>
      </c>
      <c r="D22">
        <v>290</v>
      </c>
      <c r="E22">
        <v>2.15</v>
      </c>
      <c r="F22">
        <v>83</v>
      </c>
      <c r="G22">
        <f t="shared" si="0"/>
        <v>623.5</v>
      </c>
    </row>
    <row r="23" spans="1:7">
      <c r="A23">
        <v>22</v>
      </c>
      <c r="B23" t="s">
        <v>35</v>
      </c>
      <c r="C23" t="s">
        <v>4</v>
      </c>
      <c r="D23">
        <v>85</v>
      </c>
      <c r="E23">
        <v>1.75</v>
      </c>
      <c r="F23">
        <v>96</v>
      </c>
      <c r="G23">
        <f t="shared" si="0"/>
        <v>148.75</v>
      </c>
    </row>
    <row r="24" spans="1:7">
      <c r="A24">
        <v>23</v>
      </c>
      <c r="B24" t="s">
        <v>36</v>
      </c>
      <c r="C24" t="s">
        <v>6</v>
      </c>
      <c r="D24">
        <v>115</v>
      </c>
      <c r="E24">
        <v>0.95</v>
      </c>
      <c r="F24">
        <v>109</v>
      </c>
      <c r="G24">
        <f t="shared" si="0"/>
        <v>109.25</v>
      </c>
    </row>
    <row r="25" spans="1:7">
      <c r="A25">
        <v>24</v>
      </c>
      <c r="B25" t="s">
        <v>37</v>
      </c>
      <c r="C25" t="s">
        <v>6</v>
      </c>
      <c r="D25">
        <v>15</v>
      </c>
      <c r="E25">
        <v>1.1000000000000001</v>
      </c>
      <c r="F25">
        <v>54</v>
      </c>
      <c r="G25">
        <f t="shared" si="0"/>
        <v>16.5</v>
      </c>
    </row>
    <row r="26" spans="1:7">
      <c r="A26">
        <v>25</v>
      </c>
      <c r="B26" t="s">
        <v>38</v>
      </c>
      <c r="C26" t="s">
        <v>4</v>
      </c>
      <c r="D26">
        <v>5</v>
      </c>
      <c r="E26">
        <v>1.3</v>
      </c>
      <c r="F26">
        <v>94</v>
      </c>
      <c r="G26">
        <f t="shared" si="0"/>
        <v>6.5</v>
      </c>
    </row>
    <row r="27" spans="1:7">
      <c r="A27">
        <v>26</v>
      </c>
      <c r="B27" t="s">
        <v>39</v>
      </c>
      <c r="C27" t="s">
        <v>4</v>
      </c>
      <c r="D27">
        <v>310</v>
      </c>
      <c r="E27">
        <v>0.45</v>
      </c>
      <c r="F27">
        <v>67</v>
      </c>
      <c r="G27">
        <f t="shared" si="0"/>
        <v>139.5</v>
      </c>
    </row>
    <row r="28" spans="1:7">
      <c r="A28">
        <v>27</v>
      </c>
      <c r="B28" t="s">
        <v>40</v>
      </c>
      <c r="C28" t="s">
        <v>4</v>
      </c>
      <c r="D28">
        <v>160</v>
      </c>
      <c r="E28">
        <v>0.5</v>
      </c>
      <c r="F28">
        <v>126</v>
      </c>
      <c r="G28">
        <f t="shared" si="0"/>
        <v>80</v>
      </c>
    </row>
    <row r="29" spans="1:7">
      <c r="A29">
        <v>28</v>
      </c>
      <c r="B29" t="s">
        <v>41</v>
      </c>
      <c r="C29" t="s">
        <v>6</v>
      </c>
      <c r="D29">
        <v>500</v>
      </c>
      <c r="E29">
        <v>1.2</v>
      </c>
      <c r="F29">
        <v>118</v>
      </c>
      <c r="G29">
        <f t="shared" si="0"/>
        <v>600</v>
      </c>
    </row>
    <row r="30" spans="1:7">
      <c r="A30">
        <v>29</v>
      </c>
      <c r="B30" t="s">
        <v>42</v>
      </c>
      <c r="C30" t="s">
        <v>6</v>
      </c>
      <c r="D30">
        <v>190</v>
      </c>
      <c r="E30">
        <v>0.75</v>
      </c>
      <c r="F30">
        <v>80</v>
      </c>
      <c r="G30">
        <f t="shared" si="0"/>
        <v>142.5</v>
      </c>
    </row>
    <row r="31" spans="1:7">
      <c r="A31">
        <v>30</v>
      </c>
      <c r="B31" t="s">
        <v>43</v>
      </c>
      <c r="C31" t="s">
        <v>6</v>
      </c>
      <c r="D31">
        <v>70</v>
      </c>
      <c r="E31">
        <v>5.8</v>
      </c>
      <c r="F31">
        <v>73</v>
      </c>
      <c r="G31">
        <f t="shared" si="0"/>
        <v>406</v>
      </c>
    </row>
  </sheetData>
  <conditionalFormatting sqref="D2:D31">
    <cfRule type="cellIs" dxfId="1" priority="1" operator="lessThan">
      <formula>20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2026-09-28T08:41:27Z</dcterms:created>
  <dcterms:modified xsi:type="dcterms:W3CDTF">2026-09-28T09:41:48Z</dcterms:modified>
  <cp:category/>
  <cp:contentStatus/>
</cp:coreProperties>
</file>